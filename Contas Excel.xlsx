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odrigo\MEU PC\FACULDADE\ENGENHARIA ELETRICA\2025 - 2º Semestre\Residência Tec 2\robo-marcador-de-piso\"/>
    </mc:Choice>
  </mc:AlternateContent>
  <xr:revisionPtr revIDLastSave="0" documentId="13_ncr:1_{AE807E9A-FFCE-4E93-882C-70EB0D309AD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ENTÁRIOS" sheetId="2" r:id="rId1"/>
    <sheet name="DADO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5" l="1"/>
  <c r="I8" i="5" s="1"/>
  <c r="F8" i="5"/>
  <c r="G8" i="5"/>
  <c r="E8" i="5"/>
  <c r="K8" i="5" s="1"/>
  <c r="D8" i="5"/>
  <c r="J8" i="5" s="1"/>
  <c r="T8" i="5"/>
  <c r="J7" i="5"/>
  <c r="D7" i="5"/>
  <c r="H8" i="5"/>
  <c r="V8" i="5" l="1"/>
  <c r="T7" i="5" l="1"/>
  <c r="T9" i="5" s="1"/>
  <c r="P19" i="5"/>
  <c r="P18" i="5"/>
  <c r="V7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<sst xmlns="http://schemas.openxmlformats.org/spreadsheetml/2006/main" count="138" uniqueCount="126">
  <si>
    <t>Semana 1</t>
  </si>
  <si>
    <t>01/09 - 05/09</t>
  </si>
  <si>
    <t>08/09 - 12/09</t>
  </si>
  <si>
    <t>15/09 - 19/09</t>
  </si>
  <si>
    <t>22/09 - 26/09</t>
  </si>
  <si>
    <t>29/09 - 03/10</t>
  </si>
  <si>
    <t>06/10 - 10/10</t>
  </si>
  <si>
    <t>13/10 - 17/10</t>
  </si>
  <si>
    <t>20/10 - 24/10</t>
  </si>
  <si>
    <t>27/10 - 31/10</t>
  </si>
  <si>
    <t>03/11 - 07-11</t>
  </si>
  <si>
    <t>10/11 - 14/11</t>
  </si>
  <si>
    <t>17/11 - 21/11</t>
  </si>
  <si>
    <t>24/11 - 28/11</t>
  </si>
  <si>
    <t>01/12 - 05/12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</si>
  <si>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</si>
  <si>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</si>
  <si>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</si>
  <si>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</si>
  <si>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</si>
  <si>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</si>
  <si>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</si>
  <si>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</si>
  <si>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</si>
  <si>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</si>
  <si>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</si>
  <si>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</si>
  <si>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</si>
  <si>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DIAS</t>
  </si>
  <si>
    <t>SEMANAS</t>
  </si>
  <si>
    <t>COMENTÁRIOS</t>
  </si>
  <si>
    <t>OBJETIVOS</t>
  </si>
  <si>
    <t>Proxima etapa seria aprofundar os estudos da biblioteca "Accel Stepper" para obter um controle de movimento mais suave e com aceleração, antes de escalar a solução para os quatro motores do carrinho.</t>
  </si>
  <si>
    <t>PROXIMA ETAPA</t>
  </si>
  <si>
    <t>Entrega final</t>
  </si>
  <si>
    <t>Proposta de código a partir do site. Porém não deu certo pois não usava a Shield CNC.                                                                                                                                                                                                                                                                                      Um dos drivers parou de funcionar, ocasionando um atraso.</t>
  </si>
  <si>
    <t>Realizar a montagem inicial do hardware (Wemos, CNC Shield, driver e motor) e executar um código de teste básico para validar a comunicação e obter a primeira resposta de movimento do motor.</t>
  </si>
  <si>
    <t>Testar o novo código e fazer com que o motor forneça alguma resposta.</t>
  </si>
  <si>
    <r>
      <rPr>
        <b/>
        <sz val="11"/>
        <color theme="1"/>
        <rFont val="Calibri"/>
        <family val="2"/>
        <scheme val="minor"/>
      </rPr>
      <t>Terça-Feira:</t>
    </r>
    <r>
      <rPr>
        <sz val="11"/>
        <color theme="1"/>
        <rFont val="Calibri"/>
        <family val="2"/>
        <scheme val="minor"/>
      </rPr>
      <t xml:space="preserve"> O objetivo principal da semana foi estabelecer o controle básico de um motor de passo, validando a montagem eletrônica e o código fundamental.</t>
    </r>
  </si>
  <si>
    <r>
      <rPr>
        <b/>
        <sz val="11"/>
        <color theme="1"/>
        <rFont val="Calibri"/>
        <family val="2"/>
        <scheme val="minor"/>
      </rPr>
      <t xml:space="preserve">Quinta-Feira: </t>
    </r>
    <r>
      <rPr>
        <sz val="11"/>
        <color theme="1"/>
        <rFont val="Calibri"/>
        <family val="2"/>
        <scheme val="minor"/>
      </rPr>
      <t>Fazer com que o Wemos gere uma propria rede local, assim não precisa conecta-lo à uma outra rede.Implementar o controle de movimento avançado de um motor de passo utilizando a biblioteca AccelStepper, focando em comandos de aceleração, desaceleração e posicionamento absoluto e melhorar a comunicação Wi-fi, estudando o protocolo MQTTS publico para validar o envio e recebimento de redes distintas.</t>
    </r>
  </si>
  <si>
    <r>
      <rPr>
        <b/>
        <sz val="11"/>
        <color theme="1"/>
        <rFont val="Calibri"/>
        <family val="2"/>
        <scheme val="minor"/>
      </rPr>
      <t>Objetivo:</t>
    </r>
    <r>
      <rPr>
        <sz val="11"/>
        <color theme="1"/>
        <rFont val="Calibri"/>
        <family val="2"/>
        <scheme val="minor"/>
      </rPr>
      <t xml:space="preserve"> Fazer a cruz. O servomotor abaixa no ponto vermelho e depois o motor faz a cruz em preto. Faz 4 riscos</t>
    </r>
  </si>
  <si>
    <t>Fazer com que os dois eixos funcionem simultaneamente, assim conseguiremos desenhar a cruz.                                                                                                                                                                          Fazer o servo se movimentar para cima e para baixo.</t>
  </si>
  <si>
    <t>Problema com a velocidade, o código se move em apenas um eixo (X ou Y), conseguimos determinar o sentido (horário ou anti-horário), conseguimos colocar uma velocidade (passos/por segundo) conseguimos controlar apenas um motor.  Precisamos fazer dois motores andar simultaneamente, para o robo andar em uma mesma direção os dois motores tem que andar em sentidos opostos, conseguimos fazer com que os dois motores girem simultaneamente(Y e Z) os outros dois motores (X e A) não estavam andando em sentidos diferentes, portanto o motor estava derrapando</t>
  </si>
  <si>
    <t xml:space="preserve">Tentativa de funcionamento dos dois eixos do motor, não funcionou. </t>
  </si>
  <si>
    <t>Aprimoramento do código para que os dois eixos funcionem simultaneamente</t>
  </si>
  <si>
    <t>Objetivo: Aprimoramento do código</t>
  </si>
  <si>
    <t xml:space="preserve">Correção do código, falha ao girar os eixos do motor simultaneamente </t>
  </si>
  <si>
    <t>Sucesso: Funcionamento dos eixos do motor. Estão girando no mesmo sentido</t>
  </si>
  <si>
    <t>Ajustar o código para que seja feita a cruz</t>
  </si>
  <si>
    <t>Objetivo: Fazer a Cruz</t>
  </si>
  <si>
    <t>Sucesso: Realização da cruz</t>
  </si>
  <si>
    <t>Objetivo: Controlar completamente a velocidade dos motores para fazer a cruz  (14/10)</t>
  </si>
  <si>
    <t>Tentativa de controle de velocidade e da aceleração, Cruz feita com sucesso em sala da aula</t>
  </si>
  <si>
    <t>Aprimoramento do código, precisamos controlar a velocidade e dar o comando para o robô ir até o ponto.</t>
  </si>
  <si>
    <t>Descobrimos que 800 passos dá 16.5cm (logo, cada passo equivale aproximadamente  20,625mm)</t>
  </si>
  <si>
    <t xml:space="preserve">Objetivo: Dar o comando para andar até o ponto (antes de fazer a cruz).                                                    </t>
  </si>
  <si>
    <t>Objetivo 2: fazer o servo motor da caneta descer e subir para fazer a cruz</t>
  </si>
  <si>
    <r>
      <t xml:space="preserve">Para simplificar a validação, os três jumpers de microstepping (M0, M1, M2) foram removidos do slot do driver no CNC Shield. Esta ação configurou o driver para operar em modo "Full Step" (passo completo), resultando em uma resolução de 200 passos por revolução.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SUCESSO:</t>
    </r>
    <r>
      <rPr>
        <sz val="11"/>
        <color theme="1"/>
        <rFont val="Calibri"/>
        <family val="2"/>
        <scheme val="minor"/>
      </rPr>
      <t xml:space="preserve"> Foi desenvolvido e testado com sucesso um código no Wemos capaz de controlar um motor individualmente. Conseguimos realizar uma Volta completa (360°) e controlar a direção (sentido Horário e anti-horário)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Implementação do controle Wi-Fi</t>
    </r>
    <r>
      <rPr>
        <sz val="11"/>
        <color theme="1"/>
        <rFont val="Calibri"/>
        <family val="2"/>
        <scheme val="minor"/>
      </rPr>
      <t xml:space="preserve">: Foi implementada a conectividade sem fio, estabelecendo uma comunicação direta na rede local. O Wemos foi configurado para receber comandos enviados por um aplicativo de terminal serial (ex: WiFi Serial Terminal) a partir de um tablet. O teste de acionamento do motor, através de comandos de texto enviados pela rede, foi um sucesso.                           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</t>
    </r>
  </si>
  <si>
    <t>Objetivo 2: fazer o servo motor da caneta descer e subir para fazer a cruz, Aprimorar a cruz                    Começar os testes para a realização do arco</t>
  </si>
  <si>
    <t>Aprimoramento do código</t>
  </si>
  <si>
    <t>Testes para o desenvolvimento da curva realizada pelo robo</t>
  </si>
  <si>
    <t>Sucesso: conseguimos fazer com que o servo motor funcione corretamente, subindo e descendo</t>
  </si>
  <si>
    <t>SX</t>
  </si>
  <si>
    <t>DX</t>
  </si>
  <si>
    <t>SY</t>
  </si>
  <si>
    <t>DY</t>
  </si>
  <si>
    <t>SA</t>
  </si>
  <si>
    <t>DA</t>
  </si>
  <si>
    <t>S -&gt; Posição</t>
  </si>
  <si>
    <t>D -&gt; Direção</t>
  </si>
  <si>
    <t>C -&gt; Caneta</t>
  </si>
  <si>
    <t>dz</t>
  </si>
  <si>
    <t>dy</t>
  </si>
  <si>
    <t>L</t>
  </si>
  <si>
    <t>PV</t>
  </si>
  <si>
    <t>Vmax</t>
  </si>
  <si>
    <t>passos/volta</t>
  </si>
  <si>
    <t>passos/s</t>
  </si>
  <si>
    <t>mm</t>
  </si>
  <si>
    <t>Parametros</t>
  </si>
  <si>
    <t>Posição desejada</t>
  </si>
  <si>
    <t>Posição inicial robo</t>
  </si>
  <si>
    <t>Origem</t>
  </si>
  <si>
    <t>x0</t>
  </si>
  <si>
    <t>y0</t>
  </si>
  <si>
    <t>ri</t>
  </si>
  <si>
    <t>rd</t>
  </si>
  <si>
    <t>xd</t>
  </si>
  <si>
    <t>yd</t>
  </si>
  <si>
    <t>ad</t>
  </si>
  <si>
    <t>ai</t>
  </si>
  <si>
    <t>radial</t>
  </si>
  <si>
    <t>tang</t>
  </si>
  <si>
    <t>deltaR</t>
  </si>
  <si>
    <t>Dz</t>
  </si>
  <si>
    <t>Sz</t>
  </si>
  <si>
    <t>números inteiros</t>
  </si>
  <si>
    <t>raio menor= tan-rad</t>
  </si>
  <si>
    <t>xi</t>
  </si>
  <si>
    <t>yi</t>
  </si>
  <si>
    <t>Visita no CNPEM 04/11 -&gt; Regis explicou equações de como deve ser os movimentos radial e tangencial.</t>
  </si>
  <si>
    <t>Nesta semana, aplicamos as fórmulas e refizemos o código para que, ao dar o comando de 10 parâmetros, o robô vá até o ponto desejado automaticamente.</t>
  </si>
  <si>
    <t>Aprimorar o código para a curva do robô ser mais precisa (ângulo).</t>
  </si>
  <si>
    <t>Testes em sala de aula para verficar a curva do robô.</t>
  </si>
  <si>
    <t>Documento Projeto Final</t>
  </si>
  <si>
    <t>Fazer fluxograma dos códigos, contas, conexão do robô</t>
  </si>
  <si>
    <t>Desenho simulação do robô (geogebra)</t>
  </si>
  <si>
    <t>Explicação teórica da pinagem, placas, passos, motores de passo…</t>
  </si>
  <si>
    <t>Documentação das reuniões e objetivos ao longo dos meses</t>
  </si>
  <si>
    <t>Explicação e modelagem de todas as equações</t>
  </si>
  <si>
    <t>Testes no laser traker</t>
  </si>
  <si>
    <t>Parametros via Excel, utilizamos as variáveis proposta pelo Regis, dessa forma demos inicio ao código em python</t>
  </si>
  <si>
    <t xml:space="preserve">Ajustar a inércia e configurar código do arduino com o código em pyhton </t>
  </si>
  <si>
    <t>Concatenação de Excel + Arduino + Python</t>
  </si>
  <si>
    <t>Sucesso: Cruz realizada com sucesso, conseguimos ajustar tanto a posição radial quanto a posição tangencial.
Criação de um menu, onde o robo tem a opção de fazer a cruz, ou andar até um ponto especifico, seja por uma reta ou uma curva</t>
  </si>
  <si>
    <t xml:space="preserve">Testes na interface do laser traker, ajuste no código utilizando o pyautogui </t>
  </si>
  <si>
    <t>SE DELTA R &gt;1</t>
  </si>
  <si>
    <t>T - R</t>
  </si>
  <si>
    <t>SE DELTA R &lt;1</t>
  </si>
  <si>
    <t>R - T</t>
  </si>
  <si>
    <t>roda robo</t>
  </si>
  <si>
    <t>d</t>
  </si>
  <si>
    <t>r</t>
  </si>
  <si>
    <t>c mm</t>
  </si>
  <si>
    <t>passos/mm</t>
  </si>
  <si>
    <t>(x0,y0) -&gt; laser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</si>
</sst>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A470AF-A6F0-4704-8DAB-88B16C7992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3835752</xdr:colOff>
      <xdr:row>3</xdr:row>
      <xdr:rowOff>1830917</xdr:rowOff>
    </xdr:from>
    <xdr:to>
      <xdr:col>6</xdr:col>
      <xdr:colOff>1</xdr:colOff>
      <xdr:row>4</xdr:row>
      <xdr:rowOff>246592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3AA912C-B475-E594-77FD-D76A62570288}"/>
            </a:ext>
          </a:extLst>
        </xdr:cNvPr>
        <xdr:cNvSpPr txBox="1"/>
      </xdr:nvSpPr>
      <xdr:spPr>
        <a:xfrm>
          <a:off x="13847585" y="5334000"/>
          <a:ext cx="2323749" cy="257175"/>
        </a:xfrm>
        <a:prstGeom prst="rect">
          <a:avLst/>
        </a:prstGeom>
        <a:ln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pt-BR" sz="1100" kern="1200"/>
            <a:t>Objetivo a ser Desenhado Pelo Robo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1AB2-40F9-4CAA-8200-3DE13997C365}">
  <dimension ref="A1:F30"/>
  <sheetViews>
    <sheetView showGridLines="0" zoomScale="85" zoomScaleNormal="85" workbookViewId="0">
      <pane ySplit="1" topLeftCell="A4" activePane="bottomLeft" state="frozen"/>
      <selection pane="bottomLeft" activeCell="D24" sqref="D24"/>
    </sheetView>
  </sheetViews>
  <sheetFormatPr defaultRowHeight="15" x14ac:dyDescent="0.25"/>
  <cols>
    <col min="1" max="1" width="14.42578125" customWidth="1"/>
    <col min="2" max="2" width="12.7109375" customWidth="1"/>
    <col min="3" max="3" width="42.140625" customWidth="1"/>
    <col min="4" max="4" width="74" bestFit="1" customWidth="1"/>
    <col min="5" max="5" width="55" customWidth="1"/>
    <col min="6" max="6" width="33.140625" customWidth="1"/>
  </cols>
  <sheetData>
    <row r="1" spans="1:6" ht="29.45" customHeight="1" x14ac:dyDescent="0.25">
      <c r="A1" s="5" t="s">
        <v>28</v>
      </c>
      <c r="B1" s="5" t="s">
        <v>29</v>
      </c>
      <c r="C1" s="5" t="s">
        <v>31</v>
      </c>
      <c r="D1" s="5" t="s">
        <v>30</v>
      </c>
      <c r="E1" s="5" t="s">
        <v>33</v>
      </c>
    </row>
    <row r="2" spans="1:6" ht="75" x14ac:dyDescent="0.25">
      <c r="A2" s="3" t="s">
        <v>1</v>
      </c>
      <c r="B2" s="3" t="s">
        <v>0</v>
      </c>
      <c r="C2" s="2" t="s">
        <v>36</v>
      </c>
      <c r="D2" s="6" t="s">
        <v>35</v>
      </c>
      <c r="E2" s="6" t="s">
        <v>37</v>
      </c>
    </row>
    <row r="3" spans="1:6" ht="180" x14ac:dyDescent="0.25">
      <c r="A3" s="3" t="s">
        <v>2</v>
      </c>
      <c r="B3" s="3" t="s">
        <v>15</v>
      </c>
      <c r="C3" s="2" t="s">
        <v>38</v>
      </c>
      <c r="D3" s="6" t="s">
        <v>57</v>
      </c>
      <c r="E3" s="6" t="s">
        <v>32</v>
      </c>
    </row>
    <row r="4" spans="1:6" ht="165" x14ac:dyDescent="0.25">
      <c r="A4" s="3" t="s">
        <v>2</v>
      </c>
      <c r="B4" s="3" t="s">
        <v>15</v>
      </c>
      <c r="C4" s="4" t="s">
        <v>39</v>
      </c>
      <c r="D4" s="6" t="s">
        <v>42</v>
      </c>
      <c r="E4" s="6" t="s">
        <v>41</v>
      </c>
    </row>
    <row r="5" spans="1:6" ht="142.5" customHeight="1" x14ac:dyDescent="0.25">
      <c r="A5" s="3" t="s">
        <v>3</v>
      </c>
      <c r="B5" s="3" t="s">
        <v>16</v>
      </c>
      <c r="C5" s="2" t="s">
        <v>40</v>
      </c>
      <c r="D5" s="1" t="s">
        <v>43</v>
      </c>
      <c r="E5" s="2" t="s">
        <v>44</v>
      </c>
      <c r="F5" s="2" t="e" vm="1">
        <v>#VALUE!</v>
      </c>
    </row>
    <row r="6" spans="1:6" ht="30" x14ac:dyDescent="0.25">
      <c r="A6" s="3" t="s">
        <v>4</v>
      </c>
      <c r="B6" s="3" t="s">
        <v>17</v>
      </c>
      <c r="C6" s="2" t="s">
        <v>45</v>
      </c>
      <c r="D6" s="2" t="s">
        <v>43</v>
      </c>
      <c r="E6" s="2" t="s">
        <v>46</v>
      </c>
    </row>
    <row r="7" spans="1:6" x14ac:dyDescent="0.25">
      <c r="A7" s="3" t="s">
        <v>5</v>
      </c>
      <c r="B7" s="3" t="s">
        <v>18</v>
      </c>
      <c r="C7" s="2" t="s">
        <v>45</v>
      </c>
      <c r="D7" s="2" t="s">
        <v>47</v>
      </c>
      <c r="E7" s="2" t="s">
        <v>48</v>
      </c>
    </row>
    <row r="8" spans="1:6" ht="30" x14ac:dyDescent="0.25">
      <c r="A8" s="3" t="s">
        <v>6</v>
      </c>
      <c r="B8" s="3" t="s">
        <v>19</v>
      </c>
      <c r="C8" s="2" t="s">
        <v>49</v>
      </c>
      <c r="D8" s="2" t="s">
        <v>50</v>
      </c>
      <c r="E8" s="6" t="s">
        <v>53</v>
      </c>
    </row>
    <row r="9" spans="1:6" ht="43.5" customHeight="1" x14ac:dyDescent="0.25">
      <c r="A9" s="3" t="s">
        <v>7</v>
      </c>
      <c r="B9" s="3" t="s">
        <v>20</v>
      </c>
      <c r="C9" s="2" t="s">
        <v>51</v>
      </c>
      <c r="D9" s="2" t="s">
        <v>52</v>
      </c>
      <c r="E9" s="6" t="s">
        <v>59</v>
      </c>
    </row>
    <row r="10" spans="1:6" ht="30" x14ac:dyDescent="0.25">
      <c r="A10" s="3" t="s">
        <v>8</v>
      </c>
      <c r="B10" s="3" t="s">
        <v>21</v>
      </c>
      <c r="C10" s="2" t="s">
        <v>55</v>
      </c>
      <c r="D10" s="6" t="s">
        <v>54</v>
      </c>
      <c r="E10" s="6" t="s">
        <v>56</v>
      </c>
    </row>
    <row r="11" spans="1:6" ht="64.5" customHeight="1" x14ac:dyDescent="0.25">
      <c r="A11" s="3" t="s">
        <v>9</v>
      </c>
      <c r="B11" s="3" t="s">
        <v>22</v>
      </c>
      <c r="C11" s="2" t="s">
        <v>58</v>
      </c>
      <c r="D11" s="6" t="s">
        <v>61</v>
      </c>
      <c r="E11" s="6" t="s">
        <v>60</v>
      </c>
    </row>
    <row r="12" spans="1:6" ht="45" x14ac:dyDescent="0.25">
      <c r="A12" s="3" t="s">
        <v>10</v>
      </c>
      <c r="B12" s="3" t="s">
        <v>23</v>
      </c>
      <c r="C12" s="2" t="s">
        <v>100</v>
      </c>
      <c r="D12" s="6" t="s">
        <v>101</v>
      </c>
      <c r="E12" s="6" t="s">
        <v>102</v>
      </c>
    </row>
    <row r="13" spans="1:6" ht="30" x14ac:dyDescent="0.25">
      <c r="A13" s="3" t="s">
        <v>11</v>
      </c>
      <c r="B13" s="3" t="s">
        <v>24</v>
      </c>
      <c r="C13" s="2" t="s">
        <v>103</v>
      </c>
      <c r="D13" s="8" t="s">
        <v>111</v>
      </c>
      <c r="E13" s="6" t="s">
        <v>112</v>
      </c>
    </row>
    <row r="14" spans="1:6" ht="60" x14ac:dyDescent="0.25">
      <c r="A14" s="3" t="s">
        <v>12</v>
      </c>
      <c r="B14" s="3" t="s">
        <v>25</v>
      </c>
      <c r="C14" s="9" t="s">
        <v>113</v>
      </c>
      <c r="D14" s="6" t="s">
        <v>114</v>
      </c>
      <c r="E14" s="6" t="s">
        <v>115</v>
      </c>
    </row>
    <row r="15" spans="1:6" x14ac:dyDescent="0.25">
      <c r="A15" s="3" t="s">
        <v>13</v>
      </c>
      <c r="B15" s="3" t="s">
        <v>26</v>
      </c>
      <c r="C15" s="2" t="s">
        <v>110</v>
      </c>
      <c r="D15" s="6"/>
      <c r="E15" s="6"/>
    </row>
    <row r="16" spans="1:6" x14ac:dyDescent="0.25">
      <c r="A16" s="3" t="s">
        <v>14</v>
      </c>
      <c r="B16" s="7" t="s">
        <v>27</v>
      </c>
      <c r="C16" s="2"/>
      <c r="D16" s="6"/>
      <c r="E16" s="6"/>
    </row>
    <row r="17" spans="1:2" x14ac:dyDescent="0.25">
      <c r="B17" t="s">
        <v>34</v>
      </c>
    </row>
    <row r="22" spans="1:2" x14ac:dyDescent="0.25">
      <c r="B22" t="s">
        <v>104</v>
      </c>
    </row>
    <row r="23" spans="1:2" x14ac:dyDescent="0.25">
      <c r="A23">
        <v>1</v>
      </c>
      <c r="B23" t="s">
        <v>105</v>
      </c>
    </row>
    <row r="24" spans="1:2" x14ac:dyDescent="0.25">
      <c r="A24">
        <v>2</v>
      </c>
      <c r="B24" t="s">
        <v>106</v>
      </c>
    </row>
    <row r="25" spans="1:2" x14ac:dyDescent="0.25">
      <c r="A25">
        <v>3</v>
      </c>
      <c r="B25" t="s">
        <v>107</v>
      </c>
    </row>
    <row r="26" spans="1:2" x14ac:dyDescent="0.25">
      <c r="A26">
        <v>4</v>
      </c>
      <c r="B26" t="s">
        <v>108</v>
      </c>
    </row>
    <row r="27" spans="1:2" x14ac:dyDescent="0.25">
      <c r="A27">
        <v>5</v>
      </c>
      <c r="B27" t="s">
        <v>109</v>
      </c>
    </row>
    <row r="28" spans="1:2" x14ac:dyDescent="0.25">
      <c r="A28">
        <v>6</v>
      </c>
    </row>
    <row r="29" spans="1:2" x14ac:dyDescent="0.25">
      <c r="A29">
        <v>7</v>
      </c>
    </row>
    <row r="30" spans="1:2" x14ac:dyDescent="0.25">
      <c r="A30">
        <v>8</v>
      </c>
    </row>
  </sheetData>
  <phoneticPr fontId="2" type="noConversion"/>
  <pageMargins left="0.511811024" right="0.511811024" top="0.78740157499999996" bottom="0.78740157499999996" header="0.31496062000000002" footer="0.31496062000000002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3335C-884B-46E7-BB8F-62541732F203}">
  <dimension ref="A1:Y20"/>
  <sheetViews>
    <sheetView tabSelected="1" workbookViewId="0">
      <selection activeCell="T22" sqref="T22"/>
    </sheetView>
  </sheetViews>
  <sheetFormatPr defaultRowHeight="15" x14ac:dyDescent="0.25"/>
  <cols>
    <col min="1" max="1" width="6" style="1" bestFit="1" customWidth="1"/>
    <col min="2" max="3" width="3.140625" style="1" bestFit="1" customWidth="1"/>
    <col min="4" max="4" width="9.85546875" style="1" customWidth="1"/>
    <col min="5" max="5" width="12.28515625" style="1" customWidth="1"/>
    <col min="6" max="6" width="12.42578125" style="1" customWidth="1"/>
    <col min="7" max="7" width="10.5703125" style="1" customWidth="1"/>
    <col min="8" max="8" width="11.5703125" style="1" bestFit="1" customWidth="1"/>
    <col min="9" max="9" width="11.5703125" style="1" customWidth="1"/>
    <col min="10" max="10" width="10.85546875" style="1" customWidth="1"/>
    <col min="11" max="11" width="12.140625" style="1" customWidth="1"/>
    <col min="12" max="12" width="7.140625" style="1" customWidth="1"/>
    <col min="13" max="13" width="13.140625" style="1" hidden="1" customWidth="1"/>
    <col min="14" max="14" width="0" style="1" hidden="1" customWidth="1"/>
    <col min="15" max="15" width="8.7109375" style="1" bestFit="1" customWidth="1"/>
    <col min="16" max="16" width="18.28515625" style="1" bestFit="1" customWidth="1"/>
    <col min="17" max="17" width="12.140625" style="1" bestFit="1" customWidth="1"/>
    <col min="18" max="18" width="9.140625" style="1"/>
    <col min="19" max="19" width="18.85546875" style="1" bestFit="1" customWidth="1"/>
    <col min="20" max="20" width="12.42578125" style="1" bestFit="1" customWidth="1"/>
    <col min="21" max="21" width="3.140625" style="1" bestFit="1" customWidth="1"/>
    <col min="22" max="22" width="12.42578125" style="1" bestFit="1" customWidth="1"/>
    <col min="23" max="23" width="9.140625" style="1"/>
    <col min="24" max="24" width="11.5703125" style="1" bestFit="1" customWidth="1"/>
    <col min="25" max="25" width="20.7109375" style="1" bestFit="1" customWidth="1"/>
    <col min="26" max="16384" width="9.140625" style="1"/>
  </cols>
  <sheetData>
    <row r="1" spans="1:25" x14ac:dyDescent="0.25">
      <c r="M1" s="11"/>
      <c r="O1" s="10"/>
      <c r="P1" s="10" t="s">
        <v>79</v>
      </c>
      <c r="Q1" s="10"/>
      <c r="X1" s="1" t="s">
        <v>68</v>
      </c>
      <c r="Y1" s="1" t="s">
        <v>125</v>
      </c>
    </row>
    <row r="2" spans="1:25" x14ac:dyDescent="0.25">
      <c r="O2" s="1" t="s">
        <v>74</v>
      </c>
      <c r="P2" s="1">
        <v>3200</v>
      </c>
      <c r="Q2" s="1" t="s">
        <v>76</v>
      </c>
      <c r="S2" s="1" t="s">
        <v>96</v>
      </c>
      <c r="X2" s="1" t="s">
        <v>69</v>
      </c>
    </row>
    <row r="3" spans="1:25" x14ac:dyDescent="0.25">
      <c r="O3" s="1" t="s">
        <v>75</v>
      </c>
      <c r="P3" s="1">
        <v>1600</v>
      </c>
      <c r="Q3" s="1" t="s">
        <v>77</v>
      </c>
      <c r="S3" s="1" t="s">
        <v>97</v>
      </c>
      <c r="X3" s="1" t="s">
        <v>70</v>
      </c>
    </row>
    <row r="4" spans="1:25" x14ac:dyDescent="0.25">
      <c r="O4" s="1" t="s">
        <v>71</v>
      </c>
      <c r="P4" s="1">
        <v>180</v>
      </c>
      <c r="Q4" s="1" t="s">
        <v>78</v>
      </c>
    </row>
    <row r="5" spans="1:25" x14ac:dyDescent="0.25">
      <c r="O5" s="1" t="s">
        <v>72</v>
      </c>
      <c r="P5" s="1">
        <v>100</v>
      </c>
      <c r="Q5" s="1" t="s">
        <v>78</v>
      </c>
    </row>
    <row r="6" spans="1:25" x14ac:dyDescent="0.25">
      <c r="D6" s="10" t="s">
        <v>62</v>
      </c>
      <c r="E6" s="10" t="s">
        <v>63</v>
      </c>
      <c r="F6" s="10" t="s">
        <v>64</v>
      </c>
      <c r="G6" s="10" t="s">
        <v>65</v>
      </c>
      <c r="H6" s="10" t="s">
        <v>95</v>
      </c>
      <c r="I6" s="10" t="s">
        <v>94</v>
      </c>
      <c r="J6" s="10" t="s">
        <v>66</v>
      </c>
      <c r="K6" s="10" t="s">
        <v>67</v>
      </c>
      <c r="L6" s="11"/>
      <c r="M6" s="11"/>
      <c r="O6" s="1" t="s">
        <v>73</v>
      </c>
      <c r="P6" s="1">
        <v>250</v>
      </c>
      <c r="Q6" s="1" t="s">
        <v>78</v>
      </c>
    </row>
    <row r="7" spans="1:25" x14ac:dyDescent="0.25">
      <c r="A7" s="10" t="s">
        <v>91</v>
      </c>
      <c r="D7" s="1">
        <f>P3</f>
        <v>1600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f>D7</f>
        <v>1600</v>
      </c>
      <c r="K7" s="1">
        <v>0</v>
      </c>
      <c r="O7" s="10"/>
      <c r="P7" s="10" t="s">
        <v>82</v>
      </c>
      <c r="Q7" s="10"/>
      <c r="S7" s="10" t="s">
        <v>86</v>
      </c>
      <c r="T7" s="1">
        <f>SQRT(POWER(P14-P8,2)+POWER(P15-P9,2))</f>
        <v>1.000000005</v>
      </c>
      <c r="U7" s="10" t="s">
        <v>89</v>
      </c>
      <c r="V7" s="1">
        <f>ATAN(P15/P14)</f>
        <v>9.9999999666666668E-5</v>
      </c>
    </row>
    <row r="8" spans="1:25" x14ac:dyDescent="0.25">
      <c r="A8" s="10" t="s">
        <v>92</v>
      </c>
      <c r="D8" s="12">
        <f>P3*((P4/(T8+P6)))</f>
        <v>230.3999999999991</v>
      </c>
      <c r="E8" s="12">
        <f>P4*V8*P20</f>
        <v>2879.9998166535061</v>
      </c>
      <c r="F8" s="12">
        <f>P3*((T8-P5)/(T8+P6))</f>
        <v>1152.0000000000018</v>
      </c>
      <c r="G8" s="12">
        <f>-V8*(T8-P5)*P20</f>
        <v>-14399.999083267609</v>
      </c>
      <c r="H8" s="12">
        <f>P3</f>
        <v>1600</v>
      </c>
      <c r="I8" s="12">
        <f>V8*(T8+P6)*P20</f>
        <v>19999.998726760536</v>
      </c>
      <c r="J8" s="12">
        <f>D8</f>
        <v>230.3999999999991</v>
      </c>
      <c r="K8" s="12">
        <f>E8</f>
        <v>2879.9998166535061</v>
      </c>
      <c r="O8" s="1" t="s">
        <v>83</v>
      </c>
      <c r="P8" s="1">
        <v>0</v>
      </c>
      <c r="Q8" s="1" t="s">
        <v>78</v>
      </c>
      <c r="S8" s="10" t="s">
        <v>85</v>
      </c>
      <c r="T8" s="1">
        <f>SQRT(POWER(P11-P8,2)+POWER(P12-P9,2))</f>
        <v>1000.000000000005</v>
      </c>
      <c r="U8" s="10" t="s">
        <v>90</v>
      </c>
      <c r="V8" s="1">
        <f>ATAN(P12/P11)</f>
        <v>1.5707962267948967</v>
      </c>
    </row>
    <row r="9" spans="1:25" x14ac:dyDescent="0.25">
      <c r="O9" s="1" t="s">
        <v>84</v>
      </c>
      <c r="P9" s="1">
        <v>0</v>
      </c>
      <c r="Q9" s="1" t="s">
        <v>78</v>
      </c>
      <c r="S9" s="1" t="s">
        <v>93</v>
      </c>
      <c r="T9" s="1">
        <f>T7/T8</f>
        <v>1.000000004999995E-3</v>
      </c>
    </row>
    <row r="10" spans="1:25" x14ac:dyDescent="0.25">
      <c r="O10" s="10"/>
      <c r="P10" s="10" t="s">
        <v>81</v>
      </c>
      <c r="Q10" s="10"/>
    </row>
    <row r="11" spans="1:25" x14ac:dyDescent="0.25">
      <c r="O11" s="1" t="s">
        <v>98</v>
      </c>
      <c r="P11" s="1">
        <v>1E-4</v>
      </c>
      <c r="Q11" s="1" t="s">
        <v>78</v>
      </c>
    </row>
    <row r="12" spans="1:25" x14ac:dyDescent="0.25">
      <c r="O12" s="1" t="s">
        <v>99</v>
      </c>
      <c r="P12" s="1">
        <v>1000</v>
      </c>
      <c r="Q12" s="1" t="s">
        <v>78</v>
      </c>
    </row>
    <row r="13" spans="1:25" x14ac:dyDescent="0.25">
      <c r="O13" s="10"/>
      <c r="P13" s="10" t="s">
        <v>80</v>
      </c>
      <c r="Q13" s="10"/>
    </row>
    <row r="14" spans="1:25" x14ac:dyDescent="0.25">
      <c r="O14" s="1" t="s">
        <v>87</v>
      </c>
      <c r="P14" s="1">
        <v>1</v>
      </c>
      <c r="Q14" s="1" t="s">
        <v>78</v>
      </c>
      <c r="S14" s="1" t="s">
        <v>116</v>
      </c>
      <c r="T14" s="1" t="s">
        <v>117</v>
      </c>
    </row>
    <row r="15" spans="1:25" x14ac:dyDescent="0.25">
      <c r="O15" s="1" t="s">
        <v>88</v>
      </c>
      <c r="P15" s="1">
        <v>1E-4</v>
      </c>
      <c r="Q15" s="1" t="s">
        <v>78</v>
      </c>
      <c r="S15" s="1" t="s">
        <v>118</v>
      </c>
      <c r="T15" s="1" t="s">
        <v>119</v>
      </c>
    </row>
    <row r="16" spans="1:25" x14ac:dyDescent="0.25">
      <c r="O16" s="10"/>
      <c r="P16" s="10" t="s">
        <v>120</v>
      </c>
      <c r="Q16" s="10"/>
    </row>
    <row r="17" spans="15:17" x14ac:dyDescent="0.25">
      <c r="O17" s="1" t="s">
        <v>121</v>
      </c>
      <c r="P17" s="1">
        <v>100</v>
      </c>
    </row>
    <row r="18" spans="15:17" x14ac:dyDescent="0.25">
      <c r="O18" s="1" t="s">
        <v>122</v>
      </c>
      <c r="P18" s="12">
        <f>P17/2</f>
        <v>50</v>
      </c>
    </row>
    <row r="19" spans="15:17" x14ac:dyDescent="0.25">
      <c r="O19" s="1" t="s">
        <v>123</v>
      </c>
      <c r="P19" s="1">
        <f>P18*2*PI()</f>
        <v>314.15926535897933</v>
      </c>
    </row>
    <row r="20" spans="15:17" x14ac:dyDescent="0.25">
      <c r="P20" s="13">
        <f>P2/P19</f>
        <v>10.185916357881302</v>
      </c>
      <c r="Q20" s="1" t="s">
        <v>124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COMENTÁRIOS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Ono</dc:creator>
  <cp:lastModifiedBy>Rodrigo Ono</cp:lastModifiedBy>
  <cp:lastPrinted>2025-11-04T19:46:04Z</cp:lastPrinted>
  <dcterms:created xsi:type="dcterms:W3CDTF">2015-06-05T18:19:34Z</dcterms:created>
  <dcterms:modified xsi:type="dcterms:W3CDTF">2025-12-15T17:33:01Z</dcterms:modified>
</cp:coreProperties>
</file>